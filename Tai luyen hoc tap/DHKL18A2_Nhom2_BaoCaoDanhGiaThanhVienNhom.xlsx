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N2_K2\Nhập Môn Trí Tuệ Nhân Tạo\"/>
    </mc:Choice>
  </mc:AlternateContent>
  <xr:revisionPtr revIDLastSave="0" documentId="13_ncr:1_{BAB82A42-5E88-4851-861A-433AAEAFAAB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ên_nhóm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3" i="1" l="1"/>
  <c r="E13" i="1"/>
  <c r="E12" i="1"/>
  <c r="C7" i="2"/>
  <c r="C6" i="2"/>
  <c r="C5" i="2"/>
  <c r="B7" i="2"/>
  <c r="B6" i="2"/>
  <c r="B5" i="2"/>
  <c r="C4" i="2"/>
  <c r="B4" i="2"/>
  <c r="C3" i="2"/>
  <c r="B3" i="2"/>
  <c r="N11" i="1"/>
  <c r="L11" i="1"/>
  <c r="N10" i="1"/>
  <c r="L10" i="1"/>
  <c r="N9" i="1"/>
  <c r="L9" i="1"/>
  <c r="N8" i="1"/>
  <c r="L8" i="1"/>
  <c r="N7" i="1"/>
  <c r="L7" i="1"/>
  <c r="F7" i="1"/>
  <c r="F8" i="1"/>
  <c r="H8" i="1"/>
  <c r="J11" i="1"/>
  <c r="J10" i="1"/>
  <c r="J9" i="1"/>
  <c r="J8" i="1"/>
  <c r="J7" i="1"/>
  <c r="H11" i="1"/>
  <c r="H10" i="1"/>
  <c r="H9" i="1"/>
  <c r="H7" i="1"/>
  <c r="F9" i="1"/>
  <c r="F10" i="1"/>
  <c r="F11" i="1"/>
  <c r="M12" i="1" l="1"/>
  <c r="K12" i="1"/>
  <c r="E3" i="2"/>
  <c r="G12" i="1"/>
  <c r="I12" i="1"/>
  <c r="E5" i="2" s="1"/>
  <c r="M13" i="1" l="1"/>
  <c r="E7" i="2" s="1"/>
  <c r="K13" i="1"/>
  <c r="E6" i="2" s="1"/>
  <c r="G13" i="1"/>
  <c r="E4" i="2" s="1"/>
</calcChain>
</file>

<file path=xl/sharedStrings.xml><?xml version="1.0" encoding="utf-8"?>
<sst xmlns="http://schemas.openxmlformats.org/spreadsheetml/2006/main" count="55" uniqueCount="42">
  <si>
    <t>Đánh giá kết quả thực hiện</t>
  </si>
  <si>
    <t>Tổng điểm</t>
  </si>
  <si>
    <t>Thang điểm đánh giá</t>
  </si>
  <si>
    <t>Thái độ tham gia</t>
  </si>
  <si>
    <t>Ý kiến đóng góp</t>
  </si>
  <si>
    <t xml:space="preserve">Thời gian giao nộp sản phẩm </t>
  </si>
  <si>
    <t>Chất lượng sản phẩm giao nộp</t>
  </si>
  <si>
    <t xml:space="preserve">Nhiệm vụ/ Tiêu chí </t>
  </si>
  <si>
    <t>STT</t>
  </si>
  <si>
    <r>
      <t xml:space="preserve">Thời gian tham gia họp nhóm </t>
    </r>
    <r>
      <rPr>
        <sz val="12"/>
        <color rgb="FFFF0000"/>
        <rFont val="Times New Roman"/>
        <family val="1"/>
      </rPr>
      <t>(*)</t>
    </r>
  </si>
  <si>
    <t>Điểm</t>
  </si>
  <si>
    <t>Tổng</t>
  </si>
  <si>
    <t>SV vắng buổi họp đánh giá của nhóm xem như không có ý kiến về kết quả đánh giá.</t>
  </si>
  <si>
    <t>Ký tên vào ô tương ứng với tên của mình</t>
  </si>
  <si>
    <r>
      <t xml:space="preserve">(*) </t>
    </r>
    <r>
      <rPr>
        <i/>
        <sz val="11"/>
        <rFont val="Times New Roman"/>
        <family val="1"/>
      </rPr>
      <t>chia đều cho số lần họp nhóm</t>
    </r>
  </si>
  <si>
    <t>Quy điểm 10</t>
  </si>
  <si>
    <t>(Nhóm trưởng)</t>
  </si>
  <si>
    <t>(Thành viên)</t>
  </si>
  <si>
    <t>ĐÁNH GIÁ  MỨC ĐỘ ĐÓNG GÓP CỦA TỪNG THÀNH VIÊN</t>
  </si>
  <si>
    <t>Trọng số 
(%)</t>
  </si>
  <si>
    <t>Họ và tên</t>
  </si>
  <si>
    <t>Mã SV</t>
  </si>
  <si>
    <t>Vai trò</t>
  </si>
  <si>
    <t>Thành viên</t>
  </si>
  <si>
    <t>Trưởng nhóm</t>
  </si>
  <si>
    <t>Thuyết 
trình</t>
  </si>
  <si>
    <t>Kiến 
thức</t>
  </si>
  <si>
    <t>Rõ 
ràng</t>
  </si>
  <si>
    <t xml:space="preserve">Có 
mặt </t>
  </si>
  <si>
    <t>0-1</t>
  </si>
  <si>
    <t>1-5</t>
  </si>
  <si>
    <t>Tự 
đánh giá</t>
  </si>
  <si>
    <t>Trần Đức Cơ</t>
  </si>
  <si>
    <t>Trần Thị Thùy Linh</t>
  </si>
  <si>
    <t>Trịnh Ngọc Toàn</t>
  </si>
  <si>
    <t>Nguyễn Hương Giang</t>
  </si>
  <si>
    <t xml:space="preserve">Đặng Văn Hùng </t>
  </si>
  <si>
    <t>Không có đóng góp/ không tham gia</t>
  </si>
  <si>
    <t>Sẵn sàng làm việc nhưng không thành công lắm</t>
  </si>
  <si>
    <t>Trung bình</t>
  </si>
  <si>
    <t>Khá</t>
  </si>
  <si>
    <t>Xuất sắc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</si>
</sst>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0070C0"/>
      <name val="Arial"/>
      <family val="2"/>
    </font>
    <font>
      <sz val="11"/>
      <color rgb="FF0070C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  <family val="2"/>
    </font>
    <font>
      <i/>
      <sz val="11"/>
      <name val="Arial"/>
      <family val="2"/>
    </font>
    <font>
      <sz val="10"/>
      <color theme="9" tint="-0.499984740745262"/>
      <name val="Arial"/>
      <family val="2"/>
    </font>
    <font>
      <i/>
      <sz val="10"/>
      <color theme="9" tint="-0.499984740745262"/>
      <name val="Arial"/>
      <family val="2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i/>
      <sz val="11"/>
      <color rgb="FF0070C0"/>
      <name val="Times New Roman"/>
      <family val="1"/>
    </font>
    <font>
      <sz val="11"/>
      <color rgb="FFFF0000"/>
      <name val="Times New Roman"/>
      <family val="1"/>
    </font>
    <font>
      <sz val="12"/>
      <name val="Times New Roman"/>
      <family val="1"/>
    </font>
    <font>
      <sz val="12"/>
      <color rgb="FFFF0000"/>
      <name val="Times New Roman"/>
      <family val="1"/>
    </font>
    <font>
      <b/>
      <sz val="11"/>
      <color rgb="FF0070C0"/>
      <name val="Times New Roman"/>
      <family val="1"/>
    </font>
    <font>
      <sz val="11"/>
      <color rgb="FFC00000"/>
      <name val="Times New Roman"/>
      <family val="1"/>
    </font>
    <font>
      <i/>
      <sz val="11"/>
      <color rgb="FFFF0000"/>
      <name val="Times New Roman"/>
      <family val="1"/>
    </font>
    <font>
      <i/>
      <sz val="11"/>
      <name val="Times New Roman"/>
      <family val="1"/>
    </font>
    <font>
      <i/>
      <sz val="12"/>
      <color theme="1"/>
      <name val="Times New Roman"/>
      <family val="1"/>
    </font>
    <font>
      <i/>
      <sz val="11"/>
      <color theme="1"/>
      <name val="Times New Roman"/>
      <family val="1"/>
    </font>
    <font>
      <sz val="10"/>
      <color theme="1"/>
      <name val="Times New Roman"/>
      <family val="1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9">
    <xf numFmtId="0" fontId="0" fillId="0" borderId="0" xfId="0"/>
    <xf numFmtId="2" fontId="11" fillId="0" borderId="1" xfId="0" applyNumberFormat="1" applyFont="1" applyBorder="1" applyAlignment="1" applyProtection="1">
      <alignment horizontal="center" vertical="center"/>
      <protection locked="0"/>
    </xf>
    <xf numFmtId="0" fontId="11" fillId="0" borderId="1" xfId="0" applyFont="1" applyBorder="1" applyProtection="1">
      <protection locked="0"/>
    </xf>
    <xf numFmtId="0" fontId="11" fillId="3" borderId="2" xfId="0" applyFont="1" applyFill="1" applyBorder="1"/>
    <xf numFmtId="0" fontId="11" fillId="3" borderId="2" xfId="0" quotePrefix="1" applyFont="1" applyFill="1" applyBorder="1" applyAlignment="1">
      <alignment horizontal="center"/>
    </xf>
    <xf numFmtId="0" fontId="11" fillId="0" borderId="0" xfId="0" applyFont="1"/>
    <xf numFmtId="0" fontId="12" fillId="3" borderId="3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20" fillId="3" borderId="1" xfId="0" quotePrefix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vertical="center"/>
    </xf>
    <xf numFmtId="0" fontId="16" fillId="3" borderId="1" xfId="0" quotePrefix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22" fillId="0" borderId="0" xfId="0" applyFont="1" applyAlignment="1">
      <alignment vertical="center" wrapText="1"/>
    </xf>
    <xf numFmtId="0" fontId="24" fillId="0" borderId="0" xfId="0" applyFont="1"/>
    <xf numFmtId="0" fontId="7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1" fontId="11" fillId="0" borderId="1" xfId="0" applyNumberFormat="1" applyFont="1" applyBorder="1"/>
    <xf numFmtId="0" fontId="2" fillId="0" borderId="4" xfId="0" applyFont="1" applyBorder="1" applyAlignment="1">
      <alignment horizontal="center" vertical="center" wrapText="1"/>
    </xf>
    <xf numFmtId="0" fontId="25" fillId="6" borderId="3" xfId="0" applyFont="1" applyFill="1" applyBorder="1" applyAlignment="1">
      <alignment horizontal="center" vertical="center" wrapText="1"/>
    </xf>
    <xf numFmtId="0" fontId="21" fillId="2" borderId="10" xfId="0" applyFont="1" applyFill="1" applyBorder="1" applyAlignment="1" applyProtection="1">
      <alignment horizontal="center" wrapText="1"/>
      <protection locked="0"/>
    </xf>
    <xf numFmtId="0" fontId="21" fillId="2" borderId="5" xfId="0" applyFont="1" applyFill="1" applyBorder="1" applyAlignment="1" applyProtection="1">
      <alignment horizontal="center" wrapText="1"/>
      <protection locked="0"/>
    </xf>
    <xf numFmtId="0" fontId="14" fillId="0" borderId="1" xfId="0" applyFont="1" applyBorder="1" applyAlignment="1">
      <alignment horizontal="center" vertical="center" wrapText="1"/>
    </xf>
    <xf numFmtId="0" fontId="26" fillId="0" borderId="2" xfId="0" applyFont="1" applyBorder="1" applyAlignment="1">
      <alignment horizontal="center" vertical="center" wrapText="1"/>
    </xf>
    <xf numFmtId="0" fontId="26" fillId="0" borderId="8" xfId="0" applyFont="1" applyBorder="1" applyAlignment="1">
      <alignment horizontal="center" vertical="center" wrapText="1"/>
    </xf>
    <xf numFmtId="0" fontId="26" fillId="0" borderId="3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left" vertical="center" wrapText="1"/>
    </xf>
    <xf numFmtId="0" fontId="14" fillId="3" borderId="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" fontId="17" fillId="3" borderId="6" xfId="0" applyNumberFormat="1" applyFont="1" applyFill="1" applyBorder="1" applyAlignment="1">
      <alignment horizontal="center" vertical="center" wrapText="1"/>
    </xf>
    <xf numFmtId="1" fontId="17" fillId="3" borderId="7" xfId="0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top"/>
    </xf>
    <xf numFmtId="0" fontId="15" fillId="5" borderId="6" xfId="0" applyFont="1" applyFill="1" applyBorder="1" applyAlignment="1">
      <alignment horizontal="left" vertical="center" wrapText="1"/>
    </xf>
    <xf numFmtId="0" fontId="15" fillId="5" borderId="9" xfId="0" applyFont="1" applyFill="1" applyBorder="1" applyAlignment="1">
      <alignment horizontal="left" vertical="center" wrapText="1"/>
    </xf>
    <xf numFmtId="0" fontId="15" fillId="5" borderId="7" xfId="0" applyFont="1" applyFill="1" applyBorder="1" applyAlignment="1">
      <alignment horizontal="left" vertical="center" wrapText="1"/>
    </xf>
    <xf numFmtId="0" fontId="14" fillId="5" borderId="6" xfId="0" applyFont="1" applyFill="1" applyBorder="1" applyAlignment="1">
      <alignment horizontal="left" vertical="center" wrapText="1"/>
    </xf>
    <xf numFmtId="0" fontId="14" fillId="5" borderId="9" xfId="0" applyFont="1" applyFill="1" applyBorder="1" applyAlignment="1">
      <alignment horizontal="left" vertical="center" wrapText="1"/>
    </xf>
    <xf numFmtId="0" fontId="14" fillId="5" borderId="7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15" fillId="6" borderId="2" xfId="0" applyFont="1" applyFill="1" applyBorder="1" applyAlignment="1" applyProtection="1">
      <alignment horizontal="center" vertical="center" wrapText="1"/>
      <protection locked="0"/>
    </xf>
    <xf numFmtId="0" fontId="6" fillId="0" borderId="6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164" fontId="17" fillId="3" borderId="6" xfId="0" applyNumberFormat="1" applyFont="1" applyFill="1" applyBorder="1" applyAlignment="1">
      <alignment horizontal="center" vertical="center" wrapText="1"/>
    </xf>
    <xf numFmtId="164" fontId="17" fillId="3" borderId="7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T19"/>
  <sheetViews>
    <sheetView tabSelected="1" topLeftCell="A3" zoomScaleNormal="100" workbookViewId="0">
      <selection activeCell="M13" sqref="M13:N13"/>
    </sheetView>
  </sheetViews>
  <sheetFormatPr defaultColWidth="8.6640625" defaultRowHeight="13.8" x14ac:dyDescent="0.3"/>
  <cols>
    <col min="1" max="1" width="5.33203125" style="11" customWidth="1"/>
    <col min="2" max="2" width="4.109375" style="11" customWidth="1"/>
    <col min="3" max="3" width="29.21875" style="11" customWidth="1"/>
    <col min="4" max="4" width="6.44140625" style="11" customWidth="1"/>
    <col min="5" max="5" width="8.5546875" style="11" customWidth="1"/>
    <col min="6" max="6" width="7.33203125" style="10" customWidth="1"/>
    <col min="7" max="7" width="8.5546875" style="11" customWidth="1"/>
    <col min="8" max="8" width="7.5546875" style="10" customWidth="1"/>
    <col min="9" max="9" width="8.5546875" style="11" customWidth="1"/>
    <col min="10" max="10" width="7" style="10" customWidth="1"/>
    <col min="11" max="11" width="8.5546875" style="11" customWidth="1"/>
    <col min="12" max="12" width="7.109375" style="10" customWidth="1"/>
    <col min="13" max="13" width="8.5546875" style="11" customWidth="1"/>
    <col min="14" max="14" width="7" style="10" customWidth="1"/>
    <col min="15" max="15" width="2.88671875" style="10" customWidth="1"/>
    <col min="16" max="16" width="5.5546875" style="11" customWidth="1"/>
    <col min="17" max="19" width="11.33203125" style="11" customWidth="1"/>
    <col min="20" max="20" width="10.44140625" style="11" customWidth="1"/>
    <col min="21" max="16384" width="8.6640625" style="11"/>
  </cols>
  <sheetData>
    <row r="1" spans="2:20" ht="42.6" customHeight="1" x14ac:dyDescent="0.3">
      <c r="B1" s="28" t="s">
        <v>18</v>
      </c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</row>
    <row r="2" spans="2:20" ht="26.4" customHeight="1" x14ac:dyDescent="0.3">
      <c r="B2" s="33" t="s">
        <v>8</v>
      </c>
      <c r="C2" s="36" t="s">
        <v>7</v>
      </c>
      <c r="D2" s="36" t="s">
        <v>19</v>
      </c>
      <c r="E2" s="32" t="s">
        <v>0</v>
      </c>
      <c r="F2" s="32"/>
      <c r="G2" s="32"/>
      <c r="H2" s="32"/>
      <c r="I2" s="32"/>
      <c r="J2" s="32"/>
      <c r="K2" s="32"/>
      <c r="L2" s="32"/>
      <c r="M2" s="32"/>
      <c r="N2" s="32"/>
      <c r="O2" s="11"/>
    </row>
    <row r="3" spans="2:20" ht="33" customHeight="1" x14ac:dyDescent="0.3">
      <c r="B3" s="34"/>
      <c r="C3" s="37"/>
      <c r="D3" s="37"/>
      <c r="E3" s="52" t="s">
        <v>32</v>
      </c>
      <c r="F3" s="52"/>
      <c r="G3" s="52" t="s">
        <v>33</v>
      </c>
      <c r="H3" s="52"/>
      <c r="I3" s="52" t="s">
        <v>35</v>
      </c>
      <c r="J3" s="52"/>
      <c r="K3" s="52" t="s">
        <v>34</v>
      </c>
      <c r="L3" s="52"/>
      <c r="M3" s="52" t="s">
        <v>36</v>
      </c>
      <c r="N3" s="52"/>
      <c r="O3" s="11"/>
    </row>
    <row r="4" spans="2:20" ht="15.6" customHeight="1" x14ac:dyDescent="0.25">
      <c r="B4" s="34"/>
      <c r="C4" s="37"/>
      <c r="D4" s="37"/>
      <c r="E4" s="30">
        <v>24174600072</v>
      </c>
      <c r="F4" s="31"/>
      <c r="G4" s="30">
        <v>24174600088</v>
      </c>
      <c r="H4" s="31"/>
      <c r="I4" s="30">
        <v>24174600081</v>
      </c>
      <c r="J4" s="31"/>
      <c r="K4" s="30">
        <v>24174600119</v>
      </c>
      <c r="L4" s="31"/>
      <c r="M4" s="30">
        <v>24174600113</v>
      </c>
      <c r="N4" s="31"/>
      <c r="O4" s="11"/>
    </row>
    <row r="5" spans="2:20" ht="14.4" customHeight="1" x14ac:dyDescent="0.3">
      <c r="B5" s="34"/>
      <c r="C5" s="37"/>
      <c r="D5" s="37"/>
      <c r="E5" s="29" t="s">
        <v>16</v>
      </c>
      <c r="F5" s="29"/>
      <c r="G5" s="29" t="s">
        <v>17</v>
      </c>
      <c r="H5" s="29"/>
      <c r="I5" s="29" t="s">
        <v>17</v>
      </c>
      <c r="J5" s="29"/>
      <c r="K5" s="29" t="s">
        <v>17</v>
      </c>
      <c r="L5" s="29"/>
      <c r="M5" s="29" t="s">
        <v>17</v>
      </c>
      <c r="N5" s="29"/>
      <c r="O5" s="12"/>
      <c r="P5" s="53" t="s">
        <v>2</v>
      </c>
      <c r="Q5" s="54"/>
      <c r="R5" s="54"/>
      <c r="S5" s="54"/>
      <c r="T5" s="55"/>
    </row>
    <row r="6" spans="2:20" ht="22.95" customHeight="1" x14ac:dyDescent="0.3">
      <c r="B6" s="35"/>
      <c r="C6" s="38"/>
      <c r="D6" s="38"/>
      <c r="E6" s="13" t="s">
        <v>10</v>
      </c>
      <c r="F6" s="14" t="s">
        <v>11</v>
      </c>
      <c r="G6" s="13"/>
      <c r="H6" s="14" t="s">
        <v>11</v>
      </c>
      <c r="I6" s="13" t="s">
        <v>10</v>
      </c>
      <c r="J6" s="14" t="s">
        <v>11</v>
      </c>
      <c r="K6" s="13" t="s">
        <v>10</v>
      </c>
      <c r="L6" s="14" t="s">
        <v>11</v>
      </c>
      <c r="M6" s="13" t="s">
        <v>10</v>
      </c>
      <c r="N6" s="14" t="s">
        <v>11</v>
      </c>
      <c r="O6" s="11"/>
      <c r="P6" s="15">
        <v>1</v>
      </c>
      <c r="Q6" s="51" t="s">
        <v>37</v>
      </c>
      <c r="R6" s="51"/>
      <c r="S6" s="51"/>
      <c r="T6" s="51"/>
    </row>
    <row r="7" spans="2:20" ht="22.95" customHeight="1" x14ac:dyDescent="0.3">
      <c r="B7" s="16">
        <v>1</v>
      </c>
      <c r="C7" s="17" t="s">
        <v>9</v>
      </c>
      <c r="D7" s="8">
        <v>15</v>
      </c>
      <c r="E7" s="1">
        <v>5</v>
      </c>
      <c r="F7" s="18">
        <f>E7*$D7/100</f>
        <v>0.75</v>
      </c>
      <c r="G7" s="1">
        <v>5</v>
      </c>
      <c r="H7" s="18">
        <f>G7*$D7/100</f>
        <v>0.75</v>
      </c>
      <c r="I7" s="1">
        <v>5</v>
      </c>
      <c r="J7" s="18">
        <f>I7*$D7/100</f>
        <v>0.75</v>
      </c>
      <c r="K7" s="1">
        <v>5</v>
      </c>
      <c r="L7" s="18">
        <f>K7*$D7/100</f>
        <v>0.75</v>
      </c>
      <c r="M7" s="1">
        <v>5</v>
      </c>
      <c r="N7" s="18">
        <f>M7*$D7/100</f>
        <v>0.75</v>
      </c>
      <c r="O7" s="11"/>
      <c r="P7" s="15">
        <v>2</v>
      </c>
      <c r="Q7" s="51" t="s">
        <v>38</v>
      </c>
      <c r="R7" s="51"/>
      <c r="S7" s="51"/>
      <c r="T7" s="51"/>
    </row>
    <row r="8" spans="2:20" ht="22.95" customHeight="1" x14ac:dyDescent="0.3">
      <c r="B8" s="16">
        <v>2</v>
      </c>
      <c r="C8" s="17" t="s">
        <v>3</v>
      </c>
      <c r="D8" s="8">
        <v>15</v>
      </c>
      <c r="E8" s="1">
        <v>5</v>
      </c>
      <c r="F8" s="18">
        <f>E8*$D8/100</f>
        <v>0.75</v>
      </c>
      <c r="G8" s="1">
        <v>5</v>
      </c>
      <c r="H8" s="18">
        <f>G8*$D8/100</f>
        <v>0.75</v>
      </c>
      <c r="I8" s="1">
        <v>5</v>
      </c>
      <c r="J8" s="18">
        <f t="shared" ref="J8" si="0">I8*$D8/100</f>
        <v>0.75</v>
      </c>
      <c r="K8" s="1">
        <v>5</v>
      </c>
      <c r="L8" s="18">
        <f t="shared" ref="L8:L11" si="1">K8*$D8/100</f>
        <v>0.75</v>
      </c>
      <c r="M8" s="1">
        <v>5</v>
      </c>
      <c r="N8" s="18">
        <f>M8*$D8/100</f>
        <v>0.75</v>
      </c>
      <c r="O8" s="12"/>
      <c r="P8" s="15">
        <v>3</v>
      </c>
      <c r="Q8" s="51" t="s">
        <v>39</v>
      </c>
      <c r="R8" s="51"/>
      <c r="S8" s="51"/>
      <c r="T8" s="51"/>
    </row>
    <row r="9" spans="2:20" ht="22.95" customHeight="1" x14ac:dyDescent="0.3">
      <c r="B9" s="16">
        <v>3</v>
      </c>
      <c r="C9" s="17" t="s">
        <v>4</v>
      </c>
      <c r="D9" s="8">
        <v>20</v>
      </c>
      <c r="E9" s="1">
        <v>5</v>
      </c>
      <c r="F9" s="18">
        <f t="shared" ref="F9:H11" si="2">E9*$D9/100</f>
        <v>1</v>
      </c>
      <c r="G9" s="1">
        <v>4</v>
      </c>
      <c r="H9" s="18">
        <f t="shared" si="2"/>
        <v>0.8</v>
      </c>
      <c r="I9" s="1">
        <v>4.5</v>
      </c>
      <c r="J9" s="18">
        <f t="shared" ref="J9" si="3">I9*$D9/100</f>
        <v>0.9</v>
      </c>
      <c r="K9" s="1">
        <v>4</v>
      </c>
      <c r="L9" s="18">
        <f t="shared" si="1"/>
        <v>0.8</v>
      </c>
      <c r="M9" s="1">
        <v>3.5</v>
      </c>
      <c r="N9" s="18">
        <f t="shared" ref="N9:N10" si="4">M9*$D9/100</f>
        <v>0.7</v>
      </c>
      <c r="O9" s="12"/>
      <c r="P9" s="15">
        <v>4</v>
      </c>
      <c r="Q9" s="51" t="s">
        <v>40</v>
      </c>
      <c r="R9" s="51"/>
      <c r="S9" s="51"/>
      <c r="T9" s="51"/>
    </row>
    <row r="10" spans="2:20" ht="22.95" customHeight="1" x14ac:dyDescent="0.3">
      <c r="B10" s="16">
        <v>4</v>
      </c>
      <c r="C10" s="17" t="s">
        <v>5</v>
      </c>
      <c r="D10" s="8">
        <v>20</v>
      </c>
      <c r="E10" s="1">
        <v>5</v>
      </c>
      <c r="F10" s="18">
        <f t="shared" si="2"/>
        <v>1</v>
      </c>
      <c r="G10" s="1">
        <v>3.5</v>
      </c>
      <c r="H10" s="18">
        <f t="shared" si="2"/>
        <v>0.7</v>
      </c>
      <c r="I10" s="1">
        <v>4</v>
      </c>
      <c r="J10" s="18">
        <f t="shared" ref="J10" si="5">I10*$D10/100</f>
        <v>0.8</v>
      </c>
      <c r="K10" s="1">
        <v>4</v>
      </c>
      <c r="L10" s="18">
        <f t="shared" si="1"/>
        <v>0.8</v>
      </c>
      <c r="M10" s="1">
        <v>4.5</v>
      </c>
      <c r="N10" s="18">
        <f t="shared" si="4"/>
        <v>0.9</v>
      </c>
      <c r="O10" s="12"/>
      <c r="P10" s="15">
        <v>5</v>
      </c>
      <c r="Q10" s="51" t="s">
        <v>41</v>
      </c>
      <c r="R10" s="51"/>
      <c r="S10" s="51"/>
      <c r="T10" s="51"/>
    </row>
    <row r="11" spans="2:20" ht="22.95" customHeight="1" x14ac:dyDescent="0.3">
      <c r="B11" s="16">
        <v>5</v>
      </c>
      <c r="C11" s="17" t="s">
        <v>6</v>
      </c>
      <c r="D11" s="8">
        <v>30</v>
      </c>
      <c r="E11" s="1">
        <v>5</v>
      </c>
      <c r="F11" s="18">
        <f t="shared" si="2"/>
        <v>1.5</v>
      </c>
      <c r="G11" s="1">
        <v>5</v>
      </c>
      <c r="H11" s="18">
        <f t="shared" si="2"/>
        <v>1.5</v>
      </c>
      <c r="I11" s="1">
        <v>3.5</v>
      </c>
      <c r="J11" s="18">
        <f t="shared" ref="J11" si="6">I11*$D11/100</f>
        <v>1.05</v>
      </c>
      <c r="K11" s="1">
        <v>4.5</v>
      </c>
      <c r="L11" s="18">
        <f t="shared" si="1"/>
        <v>1.35</v>
      </c>
      <c r="M11" s="1">
        <v>3</v>
      </c>
      <c r="N11" s="18">
        <f>M11*$D11/100</f>
        <v>0.9</v>
      </c>
      <c r="O11" s="19"/>
    </row>
    <row r="12" spans="2:20" ht="22.95" customHeight="1" x14ac:dyDescent="0.3">
      <c r="B12" s="48" t="s">
        <v>1</v>
      </c>
      <c r="C12" s="49"/>
      <c r="D12" s="50"/>
      <c r="E12" s="40">
        <f>SUM(F7:F11)</f>
        <v>5</v>
      </c>
      <c r="F12" s="41"/>
      <c r="G12" s="40">
        <f>SUM(H7:H11)</f>
        <v>4.5</v>
      </c>
      <c r="H12" s="41"/>
      <c r="I12" s="40">
        <f>SUM(J7:J11)</f>
        <v>4.25</v>
      </c>
      <c r="J12" s="41"/>
      <c r="K12" s="40">
        <f>SUM(L7:L11)</f>
        <v>4.4499999999999993</v>
      </c>
      <c r="L12" s="41"/>
      <c r="M12" s="40">
        <f>SUM(N7:N11)</f>
        <v>4</v>
      </c>
      <c r="N12" s="41"/>
      <c r="O12" s="11"/>
    </row>
    <row r="13" spans="2:20" ht="25.95" customHeight="1" x14ac:dyDescent="0.3">
      <c r="B13" s="45" t="s">
        <v>15</v>
      </c>
      <c r="C13" s="46"/>
      <c r="D13" s="47"/>
      <c r="E13" s="42">
        <f xml:space="preserve"> ROUND(E12*2,1)</f>
        <v>10</v>
      </c>
      <c r="F13" s="43"/>
      <c r="G13" s="57">
        <f t="shared" ref="G13" si="7" xml:space="preserve"> ROUND(G12*2,1)</f>
        <v>9</v>
      </c>
      <c r="H13" s="58"/>
      <c r="I13" s="57">
        <f t="shared" ref="I13" si="8" xml:space="preserve"> ROUND(I12*2,1)</f>
        <v>8.5</v>
      </c>
      <c r="J13" s="58"/>
      <c r="K13" s="57">
        <f t="shared" ref="K13" si="9" xml:space="preserve"> ROUND(K12*2,1)</f>
        <v>8.9</v>
      </c>
      <c r="L13" s="58"/>
      <c r="M13" s="57">
        <f t="shared" ref="M13" si="10" xml:space="preserve"> ROUND(M12*2,1)</f>
        <v>8</v>
      </c>
      <c r="N13" s="58"/>
      <c r="O13" s="20"/>
    </row>
    <row r="14" spans="2:20" ht="27" customHeight="1" x14ac:dyDescent="0.3">
      <c r="B14" s="39" t="s">
        <v>13</v>
      </c>
      <c r="C14" s="39"/>
      <c r="D14" s="39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20"/>
    </row>
    <row r="15" spans="2:20" ht="27.6" x14ac:dyDescent="0.3">
      <c r="C15" s="21" t="s">
        <v>14</v>
      </c>
      <c r="F15" s="11"/>
      <c r="H15" s="11"/>
      <c r="J15" s="11"/>
      <c r="L15" s="11"/>
      <c r="N15" s="11"/>
      <c r="O15" s="11"/>
    </row>
    <row r="16" spans="2:20" ht="15.6" x14ac:dyDescent="0.3">
      <c r="C16" s="22" t="s">
        <v>12</v>
      </c>
      <c r="D16" s="23"/>
      <c r="E16" s="23"/>
      <c r="F16" s="11"/>
      <c r="G16" s="23"/>
      <c r="H16" s="11"/>
      <c r="I16" s="23"/>
      <c r="J16" s="11"/>
      <c r="K16" s="23"/>
      <c r="L16" s="11"/>
      <c r="M16" s="23"/>
      <c r="N16" s="11"/>
      <c r="O16" s="11"/>
    </row>
    <row r="17" spans="3:14" x14ac:dyDescent="0.3">
      <c r="C17" s="24"/>
      <c r="D17" s="25"/>
      <c r="F17" s="11"/>
      <c r="H17" s="11"/>
      <c r="I17" s="25"/>
      <c r="J17" s="11"/>
      <c r="K17" s="25"/>
      <c r="L17" s="11"/>
      <c r="M17" s="25"/>
      <c r="N17" s="11"/>
    </row>
    <row r="18" spans="3:14" ht="15.6" x14ac:dyDescent="0.3">
      <c r="D18" s="22"/>
      <c r="F18" s="22"/>
      <c r="H18" s="22"/>
      <c r="J18" s="22"/>
      <c r="K18" s="25"/>
      <c r="M18" s="25"/>
    </row>
    <row r="19" spans="3:14" ht="15.6" x14ac:dyDescent="0.3">
      <c r="D19" s="22"/>
      <c r="F19" s="22"/>
      <c r="H19" s="22"/>
      <c r="J19" s="22"/>
      <c r="K19" s="26"/>
      <c r="M19" s="26"/>
    </row>
  </sheetData>
  <mergeCells count="44">
    <mergeCell ref="I12:J12"/>
    <mergeCell ref="I13:J13"/>
    <mergeCell ref="Q10:T10"/>
    <mergeCell ref="E3:F3"/>
    <mergeCell ref="G3:H3"/>
    <mergeCell ref="I3:J3"/>
    <mergeCell ref="P5:T5"/>
    <mergeCell ref="Q6:T6"/>
    <mergeCell ref="Q7:T7"/>
    <mergeCell ref="Q8:T8"/>
    <mergeCell ref="Q9:T9"/>
    <mergeCell ref="K3:L3"/>
    <mergeCell ref="M3:N3"/>
    <mergeCell ref="K4:L4"/>
    <mergeCell ref="M4:N4"/>
    <mergeCell ref="K5:L5"/>
    <mergeCell ref="B14:D14"/>
    <mergeCell ref="E12:F12"/>
    <mergeCell ref="E13:F13"/>
    <mergeCell ref="E14:F14"/>
    <mergeCell ref="M12:N12"/>
    <mergeCell ref="K13:L13"/>
    <mergeCell ref="M13:N13"/>
    <mergeCell ref="K14:L14"/>
    <mergeCell ref="M14:N14"/>
    <mergeCell ref="G14:H14"/>
    <mergeCell ref="I14:J14"/>
    <mergeCell ref="B13:D13"/>
    <mergeCell ref="B12:D12"/>
    <mergeCell ref="K12:L12"/>
    <mergeCell ref="G12:H12"/>
    <mergeCell ref="G13:H13"/>
    <mergeCell ref="B1:N1"/>
    <mergeCell ref="E5:F5"/>
    <mergeCell ref="G5:H5"/>
    <mergeCell ref="I5:J5"/>
    <mergeCell ref="E4:F4"/>
    <mergeCell ref="G4:H4"/>
    <mergeCell ref="I4:J4"/>
    <mergeCell ref="E2:N2"/>
    <mergeCell ref="B2:B6"/>
    <mergeCell ref="C2:C6"/>
    <mergeCell ref="D2:D6"/>
    <mergeCell ref="M5:N5"/>
  </mergeCells>
  <dataValidations count="1">
    <dataValidation type="decimal" operator="lessThanOrEqual" allowBlank="1" showInputMessage="1" showErrorMessage="1" sqref="M7:M11 G7:G11 I7:I11 K7:K11 E7:E11" xr:uid="{00000000-0002-0000-0000-000000000000}">
      <formula1>5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32D19-7746-4BAB-8EE1-8725097AA0AD}">
  <sheetPr codeName="Sheet2"/>
  <dimension ref="A1:I7"/>
  <sheetViews>
    <sheetView workbookViewId="0">
      <selection activeCell="H8" sqref="H8"/>
    </sheetView>
  </sheetViews>
  <sheetFormatPr defaultRowHeight="15.6" x14ac:dyDescent="0.3"/>
  <cols>
    <col min="1" max="1" width="4.5546875" style="5" customWidth="1"/>
    <col min="2" max="2" width="23.5546875" style="5" customWidth="1"/>
    <col min="3" max="3" width="14.6640625" style="5" customWidth="1"/>
    <col min="4" max="4" width="15.109375" style="5" customWidth="1"/>
    <col min="5" max="5" width="8.88671875" style="5" customWidth="1"/>
    <col min="6" max="16384" width="8.88671875" style="5"/>
  </cols>
  <sheetData>
    <row r="1" spans="1:9" x14ac:dyDescent="0.3">
      <c r="A1" s="3"/>
      <c r="B1" s="3"/>
      <c r="C1" s="3"/>
      <c r="D1" s="3"/>
      <c r="E1" s="3"/>
      <c r="F1" s="4" t="s">
        <v>29</v>
      </c>
      <c r="G1" s="4" t="s">
        <v>29</v>
      </c>
      <c r="H1" s="4" t="s">
        <v>30</v>
      </c>
      <c r="I1" s="4" t="s">
        <v>30</v>
      </c>
    </row>
    <row r="2" spans="1:9" ht="33" customHeight="1" x14ac:dyDescent="0.3">
      <c r="A2" s="6" t="s">
        <v>8</v>
      </c>
      <c r="B2" s="6" t="s">
        <v>20</v>
      </c>
      <c r="C2" s="6" t="s">
        <v>21</v>
      </c>
      <c r="D2" s="6" t="s">
        <v>22</v>
      </c>
      <c r="E2" s="7" t="s">
        <v>31</v>
      </c>
      <c r="F2" s="7" t="s">
        <v>28</v>
      </c>
      <c r="G2" s="7" t="s">
        <v>25</v>
      </c>
      <c r="H2" s="7" t="s">
        <v>26</v>
      </c>
      <c r="I2" s="7" t="s">
        <v>27</v>
      </c>
    </row>
    <row r="3" spans="1:9" ht="26.4" customHeight="1" x14ac:dyDescent="0.3">
      <c r="A3" s="8">
        <v>1</v>
      </c>
      <c r="B3" s="9" t="str">
        <f>Tên_nhóm!E3</f>
        <v>Trần Đức Cơ</v>
      </c>
      <c r="C3" s="9">
        <f>Tên_nhóm!E4</f>
        <v>24174600072</v>
      </c>
      <c r="D3" s="9" t="s">
        <v>24</v>
      </c>
      <c r="E3" s="27">
        <f>Tên_nhóm!E13</f>
        <v>10</v>
      </c>
      <c r="F3" s="2">
        <v>1</v>
      </c>
      <c r="G3" s="2">
        <v>1</v>
      </c>
      <c r="H3" s="2">
        <v>5</v>
      </c>
      <c r="I3" s="2">
        <v>5</v>
      </c>
    </row>
    <row r="4" spans="1:9" ht="26.4" customHeight="1" x14ac:dyDescent="0.3">
      <c r="A4" s="8">
        <v>2</v>
      </c>
      <c r="B4" s="9" t="str">
        <f>Tên_nhóm!G3</f>
        <v>Trần Thị Thùy Linh</v>
      </c>
      <c r="C4" s="9">
        <f>Tên_nhóm!E4</f>
        <v>24174600072</v>
      </c>
      <c r="D4" s="56" t="s">
        <v>23</v>
      </c>
      <c r="E4" s="27">
        <f>Tên_nhóm!G13</f>
        <v>9</v>
      </c>
      <c r="F4" s="2">
        <v>1</v>
      </c>
      <c r="G4" s="2">
        <v>1</v>
      </c>
      <c r="H4" s="2">
        <v>4.5</v>
      </c>
      <c r="I4" s="2">
        <v>5</v>
      </c>
    </row>
    <row r="5" spans="1:9" ht="26.4" customHeight="1" x14ac:dyDescent="0.3">
      <c r="A5" s="8">
        <v>3</v>
      </c>
      <c r="B5" s="9" t="str">
        <f>Tên_nhóm!I3</f>
        <v>Nguyễn Hương Giang</v>
      </c>
      <c r="C5" s="9">
        <f>Tên_nhóm!I4</f>
        <v>24174600081</v>
      </c>
      <c r="D5" s="56"/>
      <c r="E5" s="27">
        <f>Tên_nhóm!I13</f>
        <v>8.5</v>
      </c>
      <c r="F5" s="2">
        <v>1</v>
      </c>
      <c r="G5" s="2">
        <v>1</v>
      </c>
      <c r="H5" s="2">
        <v>4</v>
      </c>
      <c r="I5" s="2">
        <v>5</v>
      </c>
    </row>
    <row r="6" spans="1:9" ht="26.4" customHeight="1" x14ac:dyDescent="0.3">
      <c r="A6" s="8">
        <v>4</v>
      </c>
      <c r="B6" s="9" t="str">
        <f>Tên_nhóm!K3</f>
        <v>Trịnh Ngọc Toàn</v>
      </c>
      <c r="C6" s="9">
        <f>Tên_nhóm!K4</f>
        <v>24174600119</v>
      </c>
      <c r="D6" s="56"/>
      <c r="E6" s="27">
        <f>Tên_nhóm!K13</f>
        <v>8.9</v>
      </c>
      <c r="F6" s="2">
        <v>1</v>
      </c>
      <c r="G6" s="2">
        <v>1</v>
      </c>
      <c r="H6" s="2">
        <v>4.5</v>
      </c>
      <c r="I6" s="2">
        <v>5</v>
      </c>
    </row>
    <row r="7" spans="1:9" ht="26.4" customHeight="1" x14ac:dyDescent="0.3">
      <c r="A7" s="8">
        <v>5</v>
      </c>
      <c r="B7" s="9" t="str">
        <f>Tên_nhóm!M3</f>
        <v xml:space="preserve">Đặng Văn Hùng </v>
      </c>
      <c r="C7" s="9">
        <f>Tên_nhóm!M4</f>
        <v>24174600113</v>
      </c>
      <c r="D7" s="56"/>
      <c r="E7" s="27">
        <f>Tên_nhóm!M13</f>
        <v>8</v>
      </c>
      <c r="F7" s="2">
        <v>1</v>
      </c>
      <c r="G7" s="2">
        <v>1</v>
      </c>
      <c r="H7" s="2">
        <v>4</v>
      </c>
      <c r="I7" s="2">
        <v>5</v>
      </c>
    </row>
  </sheetData>
  <mergeCells count="1">
    <mergeCell ref="D4:D7"/>
  </mergeCells>
  <phoneticPr fontId="2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Tên_nhóm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keywords>Gia</cp:keywords>
  <cp:lastModifiedBy>Administrator</cp:lastModifiedBy>
  <dcterms:created xsi:type="dcterms:W3CDTF">2020-08-10T02:48:05Z</dcterms:created>
  <dcterms:modified xsi:type="dcterms:W3CDTF">2026-05-26T07:37:50Z</dcterms:modified>
</cp:coreProperties>
</file>